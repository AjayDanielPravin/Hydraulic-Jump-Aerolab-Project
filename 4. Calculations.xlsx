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V\Aerolab Group Assignment\"/>
    </mc:Choice>
  </mc:AlternateContent>
  <xr:revisionPtr revIDLastSave="0" documentId="13_ncr:1_{3B44944F-C8F7-4114-96EE-8D4545B5FCB6}" xr6:coauthVersionLast="43" xr6:coauthVersionMax="47" xr10:uidLastSave="{00000000-0000-0000-0000-000000000000}"/>
  <bookViews>
    <workbookView xWindow="-108" yWindow="-108" windowWidth="23256" windowHeight="13176" xr2:uid="{0F0175A6-D926-423E-974E-0FE8EB7B6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" i="1" l="1"/>
  <c r="I49" i="1"/>
  <c r="I50" i="1"/>
  <c r="I47" i="1"/>
  <c r="H48" i="1"/>
  <c r="H49" i="1"/>
  <c r="H50" i="1"/>
  <c r="H47" i="1"/>
  <c r="G48" i="1"/>
  <c r="G49" i="1"/>
  <c r="G50" i="1"/>
  <c r="G47" i="1"/>
  <c r="B50" i="1"/>
  <c r="B45" i="1"/>
  <c r="E56" i="1"/>
  <c r="E57" i="1"/>
  <c r="E58" i="1"/>
  <c r="E55" i="1"/>
  <c r="F17" i="1"/>
  <c r="O18" i="1" l="1"/>
  <c r="O19" i="1"/>
  <c r="O20" i="1"/>
  <c r="O17" i="1"/>
  <c r="J19" i="1"/>
  <c r="J20" i="1"/>
  <c r="J18" i="1"/>
  <c r="J17" i="1"/>
  <c r="E20" i="1"/>
  <c r="D20" i="1"/>
  <c r="F20" i="1" s="1"/>
  <c r="A20" i="1"/>
  <c r="E19" i="1"/>
  <c r="D19" i="1"/>
  <c r="F19" i="1" s="1"/>
  <c r="A19" i="1"/>
  <c r="E18" i="1"/>
  <c r="D18" i="1"/>
  <c r="A18" i="1"/>
  <c r="E17" i="1"/>
  <c r="D17" i="1"/>
  <c r="P20" i="1" l="1"/>
  <c r="P19" i="1"/>
  <c r="F18" i="1"/>
  <c r="P18" i="1"/>
  <c r="P17" i="1"/>
  <c r="G18" i="1"/>
  <c r="H18" i="1" s="1"/>
  <c r="G20" i="1"/>
  <c r="H20" i="1" s="1"/>
  <c r="M20" i="1" s="1"/>
  <c r="G19" i="1"/>
  <c r="H19" i="1" s="1"/>
  <c r="M19" i="1" s="1"/>
  <c r="G17" i="1"/>
  <c r="H17" i="1" s="1"/>
  <c r="M17" i="1" s="1"/>
  <c r="Q17" i="1" l="1"/>
  <c r="N17" i="1"/>
  <c r="Q19" i="1"/>
  <c r="N19" i="1"/>
  <c r="K18" i="1"/>
  <c r="M18" i="1"/>
  <c r="Q20" i="1"/>
  <c r="N20" i="1"/>
  <c r="K19" i="1"/>
  <c r="K20" i="1"/>
  <c r="K17" i="1"/>
  <c r="Q18" i="1" l="1"/>
  <c r="N18" i="1"/>
</calcChain>
</file>

<file path=xl/sharedStrings.xml><?xml version="1.0" encoding="utf-8"?>
<sst xmlns="http://schemas.openxmlformats.org/spreadsheetml/2006/main" count="75" uniqueCount="53">
  <si>
    <t>Froude Number</t>
  </si>
  <si>
    <t>y1/y2</t>
  </si>
  <si>
    <t>Depth(mm)</t>
  </si>
  <si>
    <t>Width(mm)</t>
  </si>
  <si>
    <t>Velocity(m/s)</t>
  </si>
  <si>
    <t xml:space="preserve">Flow Rate = </t>
  </si>
  <si>
    <t>m3/s</t>
  </si>
  <si>
    <t>Depth(m)</t>
  </si>
  <si>
    <t>Width(m)</t>
  </si>
  <si>
    <t>Flowrate(m3/s)</t>
  </si>
  <si>
    <t>Theoretical</t>
  </si>
  <si>
    <t>Experimental</t>
  </si>
  <si>
    <t>Depth of Jump(mm)</t>
  </si>
  <si>
    <t>Error</t>
  </si>
  <si>
    <t>%</t>
  </si>
  <si>
    <t>Type of Jump</t>
  </si>
  <si>
    <t>Steady Jump</t>
  </si>
  <si>
    <t>Oscillating Jump</t>
  </si>
  <si>
    <t>Weak Jump</t>
  </si>
  <si>
    <t>Error in Energy Loss</t>
  </si>
  <si>
    <t>Theoretical vs Experimetnal</t>
  </si>
  <si>
    <t>Specific Energy Loss (m)</t>
  </si>
  <si>
    <t>Specific Energy Loss(m)</t>
  </si>
  <si>
    <t>Energy Dissipation %</t>
  </si>
  <si>
    <t>Sl. No</t>
  </si>
  <si>
    <t>Theoretical y1/y2</t>
  </si>
  <si>
    <t>Experimental Depth of Jump(mm)</t>
  </si>
  <si>
    <t>Experimental y1/y2</t>
  </si>
  <si>
    <t>% Error (Experimental and theoretical) y1/y2</t>
  </si>
  <si>
    <t>%Error Experimental and theoretical (Energy Dissipation)</t>
  </si>
  <si>
    <t>Theoretical % Energy dissipated</t>
  </si>
  <si>
    <t>Experimental % Energy dissipated</t>
  </si>
  <si>
    <t>Experimental Specific Energy Loss(m)</t>
  </si>
  <si>
    <t>Theoretical Specific Energy Loss(m)</t>
  </si>
  <si>
    <t>E</t>
  </si>
  <si>
    <t>J</t>
  </si>
  <si>
    <t>Fr</t>
  </si>
  <si>
    <t>y2</t>
  </si>
  <si>
    <t>y1</t>
  </si>
  <si>
    <t>Q</t>
  </si>
  <si>
    <t>dt</t>
  </si>
  <si>
    <t>dQ</t>
  </si>
  <si>
    <t>V</t>
  </si>
  <si>
    <t>t</t>
  </si>
  <si>
    <t>V1</t>
  </si>
  <si>
    <t>b</t>
  </si>
  <si>
    <t>dV1</t>
  </si>
  <si>
    <t>g</t>
  </si>
  <si>
    <t>δ y1</t>
  </si>
  <si>
    <t>δ y2</t>
  </si>
  <si>
    <t>δ Fr</t>
  </si>
  <si>
    <t>δ J</t>
  </si>
  <si>
    <t>δ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</si>
</sst>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65" fontId="0" fillId="7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4" fontId="0" fillId="8" borderId="0" xfId="0" applyNumberFormat="1" applyFill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1" fillId="4" borderId="2" xfId="0" applyNumberFormat="1" applyFont="1" applyFill="1" applyBorder="1" applyAlignment="1">
      <alignment horizontal="center"/>
    </xf>
    <xf numFmtId="165" fontId="1" fillId="5" borderId="3" xfId="0" applyNumberFormat="1" applyFont="1" applyFill="1" applyBorder="1" applyAlignment="1">
      <alignment horizontal="center"/>
    </xf>
    <xf numFmtId="165" fontId="1" fillId="7" borderId="3" xfId="0" applyNumberFormat="1" applyFont="1" applyFill="1" applyBorder="1" applyAlignment="1">
      <alignment horizontal="center"/>
    </xf>
    <xf numFmtId="165" fontId="1" fillId="6" borderId="3" xfId="0" applyNumberFormat="1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165" fontId="0" fillId="4" borderId="7" xfId="0" applyNumberFormat="1" applyFill="1" applyBorder="1" applyAlignment="1">
      <alignment horizontal="center"/>
    </xf>
    <xf numFmtId="165" fontId="0" fillId="5" borderId="8" xfId="0" applyNumberFormat="1" applyFill="1" applyBorder="1" applyAlignment="1">
      <alignment horizontal="center"/>
    </xf>
    <xf numFmtId="165" fontId="0" fillId="7" borderId="8" xfId="0" applyNumberFormat="1" applyFill="1" applyBorder="1" applyAlignment="1">
      <alignment horizontal="center"/>
    </xf>
    <xf numFmtId="165" fontId="0" fillId="6" borderId="8" xfId="0" applyNumberForma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7280-6A46-4F77-973E-F701D66FA4F4}">
  <dimension ref="A13:R66"/>
  <sheetViews>
    <sheetView tabSelected="1" topLeftCell="B1" zoomScale="53" zoomScaleNormal="55" workbookViewId="0">
      <selection activeCell="G46" sqref="G46:I50"/>
    </sheetView>
  </sheetViews>
  <sheetFormatPr defaultRowHeight="14.4" x14ac:dyDescent="0.3"/>
  <cols>
    <col min="1" max="1" width="13.88671875" customWidth="1"/>
    <col min="2" max="2" width="26.88671875" customWidth="1"/>
    <col min="3" max="3" width="13.21875" customWidth="1"/>
    <col min="4" max="4" width="11.88671875" customWidth="1"/>
    <col min="5" max="5" width="28.5546875" customWidth="1"/>
    <col min="6" max="6" width="39.77734375" customWidth="1"/>
    <col min="7" max="7" width="36" customWidth="1"/>
    <col min="8" max="8" width="23.109375" customWidth="1"/>
    <col min="9" max="9" width="47.77734375" customWidth="1"/>
    <col min="10" max="10" width="44.109375" customWidth="1"/>
    <col min="11" max="11" width="32.21875" customWidth="1"/>
    <col min="12" max="12" width="44.21875" customWidth="1"/>
    <col min="13" max="13" width="42.5546875" customWidth="1"/>
    <col min="14" max="14" width="46.33203125" customWidth="1"/>
    <col min="15" max="15" width="54" customWidth="1"/>
    <col min="16" max="16" width="30.44140625" customWidth="1"/>
    <col min="17" max="17" width="53.6640625" customWidth="1"/>
  </cols>
  <sheetData>
    <row r="13" spans="1:18" x14ac:dyDescent="0.3">
      <c r="E13" s="3" t="s">
        <v>47</v>
      </c>
      <c r="F13" s="3">
        <v>9.81</v>
      </c>
    </row>
    <row r="14" spans="1:18" x14ac:dyDescent="0.3">
      <c r="A14" s="2"/>
      <c r="B14" s="2"/>
      <c r="C14" s="2"/>
      <c r="D14" s="2"/>
      <c r="E14" s="2" t="s">
        <v>5</v>
      </c>
      <c r="F14" s="2">
        <v>1.6000000000000001E-4</v>
      </c>
      <c r="G14" s="2" t="s">
        <v>6</v>
      </c>
      <c r="H14" s="2"/>
      <c r="I14" s="2"/>
      <c r="J14" s="2"/>
      <c r="K14" s="2"/>
      <c r="L14" s="2"/>
      <c r="M14" s="2"/>
      <c r="N14" s="2"/>
      <c r="O14" s="10" t="s">
        <v>34</v>
      </c>
      <c r="P14" s="2"/>
      <c r="Q14" s="2"/>
      <c r="R14" s="1"/>
    </row>
    <row r="15" spans="1:18" x14ac:dyDescent="0.3">
      <c r="A15" s="2"/>
      <c r="B15" s="2"/>
      <c r="C15" s="2"/>
      <c r="D15" s="11" t="s">
        <v>38</v>
      </c>
      <c r="E15" s="2"/>
      <c r="F15" s="2"/>
      <c r="G15" s="2"/>
      <c r="H15" s="2" t="s">
        <v>10</v>
      </c>
      <c r="I15" s="2" t="s">
        <v>11</v>
      </c>
      <c r="J15" s="2" t="s">
        <v>11</v>
      </c>
      <c r="K15" s="2" t="s">
        <v>13</v>
      </c>
      <c r="L15" s="2" t="s">
        <v>15</v>
      </c>
      <c r="M15" s="2" t="s">
        <v>21</v>
      </c>
      <c r="N15" s="2" t="s">
        <v>23</v>
      </c>
      <c r="O15" s="2" t="s">
        <v>22</v>
      </c>
      <c r="P15" s="2" t="s">
        <v>23</v>
      </c>
      <c r="Q15" s="2" t="s">
        <v>19</v>
      </c>
      <c r="R15" s="1"/>
    </row>
    <row r="16" spans="1:18" x14ac:dyDescent="0.3">
      <c r="A16" s="2" t="s">
        <v>9</v>
      </c>
      <c r="B16" s="2" t="s">
        <v>2</v>
      </c>
      <c r="C16" s="2" t="s">
        <v>3</v>
      </c>
      <c r="D16" s="11" t="s">
        <v>7</v>
      </c>
      <c r="E16" s="2" t="s">
        <v>8</v>
      </c>
      <c r="F16" s="2" t="s">
        <v>4</v>
      </c>
      <c r="G16" s="2" t="s">
        <v>0</v>
      </c>
      <c r="H16" s="2" t="s">
        <v>1</v>
      </c>
      <c r="I16" s="2" t="s">
        <v>12</v>
      </c>
      <c r="J16" s="2" t="s">
        <v>1</v>
      </c>
      <c r="K16" s="2" t="s">
        <v>14</v>
      </c>
      <c r="L16" s="2"/>
      <c r="M16" s="2" t="s">
        <v>10</v>
      </c>
      <c r="N16" s="2" t="s">
        <v>10</v>
      </c>
      <c r="O16" s="2" t="s">
        <v>11</v>
      </c>
      <c r="P16" s="2" t="s">
        <v>11</v>
      </c>
      <c r="Q16" s="2" t="s">
        <v>20</v>
      </c>
      <c r="R16" s="1"/>
    </row>
    <row r="17" spans="1:18" x14ac:dyDescent="0.3">
      <c r="A17" s="2">
        <v>1.6699999999999999E-4</v>
      </c>
      <c r="B17" s="2">
        <v>5</v>
      </c>
      <c r="C17" s="2">
        <v>30</v>
      </c>
      <c r="D17" s="11">
        <f>B17/1000</f>
        <v>5.0000000000000001E-3</v>
      </c>
      <c r="E17" s="2">
        <f>C17/1000</f>
        <v>0.03</v>
      </c>
      <c r="F17" s="2">
        <f>$F$14/(D17*E17)</f>
        <v>1.0666666666666669</v>
      </c>
      <c r="G17" s="2">
        <f>F17*(9.8*D17)^-0.5</f>
        <v>4.8187088154946744</v>
      </c>
      <c r="H17" s="2">
        <f>0.5*((8*G17*G17+1)^0.5-1)</f>
        <v>6.3330014852224474</v>
      </c>
      <c r="I17" s="2">
        <v>30</v>
      </c>
      <c r="J17" s="2">
        <f>I17/B17</f>
        <v>6</v>
      </c>
      <c r="K17" s="2">
        <f>(H17-J17)*100/H17</f>
        <v>5.2581937016670492</v>
      </c>
      <c r="L17" s="2" t="s">
        <v>16</v>
      </c>
      <c r="M17" s="2">
        <f>((H17*B17-B17)^3)/(4000*H17*B17*B17)</f>
        <v>2.9937500432081446E-2</v>
      </c>
      <c r="N17" s="2">
        <f>M17*100/(D17+F17*F17/(2*9.8))</f>
        <v>47.482243087746497</v>
      </c>
      <c r="O17" s="2">
        <f>((I17-B17)^3)/(4000*B17*I17)</f>
        <v>2.6041666666666668E-2</v>
      </c>
      <c r="P17" s="2">
        <f>O17*100/(D17+F17*F17/(2*9.8))</f>
        <v>41.303272792663186</v>
      </c>
      <c r="Q17" s="2">
        <f>(M17-O17)*100/M17</f>
        <v>13.013223245718763</v>
      </c>
      <c r="R17" s="1"/>
    </row>
    <row r="18" spans="1:18" x14ac:dyDescent="0.3">
      <c r="A18" s="2">
        <f>0.75*A17</f>
        <v>1.2524999999999998E-4</v>
      </c>
      <c r="B18" s="2">
        <v>7.5</v>
      </c>
      <c r="C18" s="2">
        <v>30</v>
      </c>
      <c r="D18" s="11">
        <f t="shared" ref="D18:D20" si="0">B18/1000</f>
        <v>7.4999999999999997E-3</v>
      </c>
      <c r="E18" s="2">
        <f t="shared" ref="E18:E20" si="1">C18/1000</f>
        <v>0.03</v>
      </c>
      <c r="F18" s="2">
        <f t="shared" ref="F18:F20" si="2">$F$14/(D18*E18)</f>
        <v>0.71111111111111114</v>
      </c>
      <c r="G18" s="2">
        <f t="shared" ref="G18:G20" si="3">F18*(9.8*D18)^-0.5</f>
        <v>2.6229728482251295</v>
      </c>
      <c r="H18" s="2">
        <f t="shared" ref="H18:H20" si="4">0.5*((8*G18*G18+1)^0.5-1)</f>
        <v>3.2429898644068618</v>
      </c>
      <c r="I18" s="2">
        <v>22</v>
      </c>
      <c r="J18" s="2">
        <f>I18/B18</f>
        <v>2.9333333333333331</v>
      </c>
      <c r="K18" s="2">
        <f>(H18-J18)*100/H18</f>
        <v>9.5484890184867837</v>
      </c>
      <c r="L18" s="2" t="s">
        <v>17</v>
      </c>
      <c r="M18" s="2">
        <f t="shared" ref="M18:M20" si="5">((H18*B18-B18)^3)/(4000*H18*B18*B18)</f>
        <v>6.5243554567958216E-3</v>
      </c>
      <c r="N18" s="2">
        <f t="shared" ref="N18:N20" si="6">M18*100/(D18+F18*F18/(2*9.8))</f>
        <v>19.592688677642094</v>
      </c>
      <c r="O18" s="2">
        <f t="shared" ref="O18:O20" si="7">((I18-B18)^3)/(4000*B18*I18)</f>
        <v>4.6191287878787875E-3</v>
      </c>
      <c r="P18" s="2">
        <f t="shared" ref="P18:P20" si="8">O18*100/(D18+F18*F18/(2*9.8))</f>
        <v>13.871278611679049</v>
      </c>
      <c r="Q18" s="2">
        <f>(M18-O18)*100/M18</f>
        <v>29.201760718486522</v>
      </c>
      <c r="R18" s="1"/>
    </row>
    <row r="19" spans="1:18" x14ac:dyDescent="0.3">
      <c r="A19" s="2">
        <f>0.5*A17</f>
        <v>8.3499999999999997E-5</v>
      </c>
      <c r="B19" s="2">
        <v>10</v>
      </c>
      <c r="C19" s="2">
        <v>30</v>
      </c>
      <c r="D19" s="11">
        <f t="shared" si="0"/>
        <v>0.01</v>
      </c>
      <c r="E19" s="2">
        <f t="shared" si="1"/>
        <v>0.03</v>
      </c>
      <c r="F19" s="2">
        <f t="shared" si="2"/>
        <v>0.53333333333333344</v>
      </c>
      <c r="G19" s="2">
        <f t="shared" si="3"/>
        <v>1.7036708399998399</v>
      </c>
      <c r="H19" s="2">
        <f t="shared" si="4"/>
        <v>1.9606886560740513</v>
      </c>
      <c r="I19" s="2">
        <v>18</v>
      </c>
      <c r="J19" s="2">
        <f t="shared" ref="J19:J20" si="9">I19/B19</f>
        <v>1.8</v>
      </c>
      <c r="K19" s="2">
        <f t="shared" ref="K19:K20" si="10">(H19-J19)*100/H19</f>
        <v>8.1955212815788521</v>
      </c>
      <c r="L19" s="2" t="s">
        <v>18</v>
      </c>
      <c r="M19" s="2">
        <f t="shared" si="5"/>
        <v>1.1305228901657728E-3</v>
      </c>
      <c r="N19" s="2">
        <f t="shared" si="6"/>
        <v>4.6120314020638826</v>
      </c>
      <c r="O19" s="2">
        <f t="shared" si="7"/>
        <v>7.1111111111111115E-4</v>
      </c>
      <c r="P19" s="2">
        <f t="shared" si="8"/>
        <v>2.9010175763182233</v>
      </c>
      <c r="Q19" s="2">
        <f>(M19-O19)*100/M19</f>
        <v>37.098919686019073</v>
      </c>
      <c r="R19" s="1"/>
    </row>
    <row r="20" spans="1:18" x14ac:dyDescent="0.3">
      <c r="A20" s="2">
        <f>0.25*A17</f>
        <v>4.1749999999999998E-5</v>
      </c>
      <c r="B20" s="2">
        <v>12.5</v>
      </c>
      <c r="C20" s="2">
        <v>30</v>
      </c>
      <c r="D20" s="11">
        <f t="shared" si="0"/>
        <v>1.2500000000000001E-2</v>
      </c>
      <c r="E20" s="2">
        <f t="shared" si="1"/>
        <v>0.03</v>
      </c>
      <c r="F20" s="2">
        <f t="shared" si="2"/>
        <v>0.42666666666666669</v>
      </c>
      <c r="G20" s="2">
        <f t="shared" si="3"/>
        <v>1.2190476190476189</v>
      </c>
      <c r="H20" s="2">
        <f t="shared" si="4"/>
        <v>1.2950359871075949</v>
      </c>
      <c r="I20" s="2">
        <v>14</v>
      </c>
      <c r="J20" s="2">
        <f t="shared" si="9"/>
        <v>1.1200000000000001</v>
      </c>
      <c r="K20" s="2">
        <f t="shared" si="10"/>
        <v>13.515916843247723</v>
      </c>
      <c r="L20" s="2" t="s">
        <v>18</v>
      </c>
      <c r="M20" s="2">
        <f t="shared" si="5"/>
        <v>6.1971664629325473E-5</v>
      </c>
      <c r="N20" s="2">
        <f t="shared" si="6"/>
        <v>0.28443049489027972</v>
      </c>
      <c r="O20" s="2">
        <f t="shared" si="7"/>
        <v>4.8214285714285712E-6</v>
      </c>
      <c r="P20" s="2">
        <f t="shared" si="8"/>
        <v>2.2128844252484778E-2</v>
      </c>
      <c r="Q20" s="2">
        <f>(M20-O20)*100/M20</f>
        <v>92.219946647766776</v>
      </c>
      <c r="R20" s="1"/>
    </row>
    <row r="21" spans="1:18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 x14ac:dyDescent="0.3">
      <c r="A25" s="3"/>
      <c r="B25" s="3"/>
      <c r="C25" s="3"/>
      <c r="D25" s="3"/>
      <c r="E25" s="3"/>
      <c r="F25" s="3"/>
      <c r="G25" s="3"/>
      <c r="H25" s="3" t="s">
        <v>36</v>
      </c>
      <c r="I25" s="3"/>
      <c r="J25" s="3"/>
      <c r="K25" s="3"/>
      <c r="L25" s="12" t="s">
        <v>37</v>
      </c>
      <c r="M25" s="14" t="s">
        <v>35</v>
      </c>
      <c r="N25" s="3"/>
      <c r="O25" s="3" t="s">
        <v>34</v>
      </c>
      <c r="P25" s="3"/>
      <c r="Q25" s="3"/>
    </row>
    <row r="26" spans="1:18" x14ac:dyDescent="0.3">
      <c r="A26" s="3"/>
      <c r="B26" s="3"/>
      <c r="C26" s="3"/>
      <c r="D26" s="3"/>
      <c r="E26" s="4" t="s">
        <v>24</v>
      </c>
      <c r="F26" s="4" t="s">
        <v>2</v>
      </c>
      <c r="G26" s="4" t="s">
        <v>4</v>
      </c>
      <c r="H26" s="4" t="s">
        <v>0</v>
      </c>
      <c r="I26" s="4" t="s">
        <v>25</v>
      </c>
      <c r="J26" s="4" t="s">
        <v>33</v>
      </c>
      <c r="K26" s="4" t="s">
        <v>30</v>
      </c>
      <c r="L26" s="12" t="s">
        <v>26</v>
      </c>
      <c r="M26" s="14" t="s">
        <v>27</v>
      </c>
      <c r="N26" s="4" t="s">
        <v>28</v>
      </c>
      <c r="O26" s="4" t="s">
        <v>32</v>
      </c>
      <c r="P26" s="4" t="s">
        <v>31</v>
      </c>
      <c r="Q26" s="4" t="s">
        <v>29</v>
      </c>
    </row>
    <row r="27" spans="1:18" x14ac:dyDescent="0.3">
      <c r="A27" s="3"/>
      <c r="B27" s="3"/>
      <c r="C27" s="3"/>
      <c r="D27" s="3"/>
      <c r="E27" s="5">
        <v>1</v>
      </c>
      <c r="F27" s="6">
        <v>5</v>
      </c>
      <c r="G27" s="6">
        <v>1.0666666666666669</v>
      </c>
      <c r="H27" s="6">
        <v>4.8187088154946744</v>
      </c>
      <c r="I27" s="6">
        <v>6.3330014852224474</v>
      </c>
      <c r="J27" s="7">
        <v>2.9937500432081446E-2</v>
      </c>
      <c r="K27" s="8">
        <v>47.482243087746497</v>
      </c>
      <c r="L27" s="13">
        <v>30</v>
      </c>
      <c r="M27" s="15">
        <v>6</v>
      </c>
      <c r="N27" s="6">
        <v>5.2581937016670492</v>
      </c>
      <c r="O27" s="9">
        <v>2.6041666666666668E-2</v>
      </c>
      <c r="P27" s="8">
        <v>41.303272792663186</v>
      </c>
      <c r="Q27" s="6">
        <v>13.013223245718763</v>
      </c>
    </row>
    <row r="28" spans="1:18" x14ac:dyDescent="0.3">
      <c r="A28" s="3"/>
      <c r="B28" s="3"/>
      <c r="C28" s="3"/>
      <c r="D28" s="3"/>
      <c r="E28" s="5">
        <v>2</v>
      </c>
      <c r="F28" s="6">
        <v>7.5</v>
      </c>
      <c r="G28" s="6">
        <v>0.71111111111111114</v>
      </c>
      <c r="H28" s="6">
        <v>2.6229728482251295</v>
      </c>
      <c r="I28" s="6">
        <v>3.2429898644068618</v>
      </c>
      <c r="J28" s="7">
        <v>6.5243554567958216E-3</v>
      </c>
      <c r="K28" s="8">
        <v>19.592688677642094</v>
      </c>
      <c r="L28" s="13">
        <v>22</v>
      </c>
      <c r="M28" s="15">
        <v>2.9333333333333331</v>
      </c>
      <c r="N28" s="6">
        <v>9.5484890184867837</v>
      </c>
      <c r="O28" s="9">
        <v>4.6191287878787875E-3</v>
      </c>
      <c r="P28" s="8">
        <v>13.871278611679049</v>
      </c>
      <c r="Q28" s="6">
        <v>29.201760718486522</v>
      </c>
    </row>
    <row r="29" spans="1:18" x14ac:dyDescent="0.3">
      <c r="A29" s="3"/>
      <c r="B29" s="3"/>
      <c r="C29" s="3"/>
      <c r="D29" s="3"/>
      <c r="E29" s="5">
        <v>3</v>
      </c>
      <c r="F29" s="6">
        <v>10</v>
      </c>
      <c r="G29" s="6">
        <v>0.53333333333333344</v>
      </c>
      <c r="H29" s="6">
        <v>1.7036708399998399</v>
      </c>
      <c r="I29" s="6">
        <v>1.9606886560740513</v>
      </c>
      <c r="J29" s="7">
        <v>1.1305228901657728E-3</v>
      </c>
      <c r="K29" s="8">
        <v>4.6120314020638826</v>
      </c>
      <c r="L29" s="13">
        <v>18</v>
      </c>
      <c r="M29" s="15">
        <v>1.8</v>
      </c>
      <c r="N29" s="6">
        <v>8.1955212815788521</v>
      </c>
      <c r="O29" s="9">
        <v>7.1111111111111115E-4</v>
      </c>
      <c r="P29" s="8">
        <v>2.9010175763182233</v>
      </c>
      <c r="Q29" s="6">
        <v>37.098919686019073</v>
      </c>
    </row>
    <row r="30" spans="1:18" x14ac:dyDescent="0.3">
      <c r="A30" s="3"/>
      <c r="B30" s="3"/>
      <c r="C30" s="3"/>
      <c r="D30" s="3"/>
      <c r="E30" s="5">
        <v>4</v>
      </c>
      <c r="F30" s="6">
        <v>12.5</v>
      </c>
      <c r="G30" s="6">
        <v>0.42666666666666669</v>
      </c>
      <c r="H30" s="6">
        <v>1.2190476190476189</v>
      </c>
      <c r="I30" s="6">
        <v>1.2950359871075949</v>
      </c>
      <c r="J30" s="7">
        <v>6.1971664629325473E-5</v>
      </c>
      <c r="K30" s="8">
        <v>0.28443049489027972</v>
      </c>
      <c r="L30" s="13">
        <v>14</v>
      </c>
      <c r="M30" s="15">
        <v>1.1200000000000001</v>
      </c>
      <c r="N30" s="6">
        <v>13.515916843247723</v>
      </c>
      <c r="O30" s="9">
        <v>4.8214285714285712E-6</v>
      </c>
      <c r="P30" s="8">
        <v>2.2128844252484778E-2</v>
      </c>
      <c r="Q30" s="6">
        <v>92.219946647766776</v>
      </c>
    </row>
    <row r="31" spans="1:18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3">
      <c r="A37" s="3"/>
      <c r="B37" s="3"/>
      <c r="C37" s="3"/>
      <c r="D37" s="3"/>
      <c r="E37" s="29" t="s">
        <v>38</v>
      </c>
      <c r="F37" s="30" t="s">
        <v>37</v>
      </c>
      <c r="G37" s="31" t="s">
        <v>36</v>
      </c>
      <c r="H37" s="32" t="s">
        <v>35</v>
      </c>
      <c r="I37" s="33" t="s">
        <v>34</v>
      </c>
      <c r="J37" s="20"/>
      <c r="K37" s="20"/>
      <c r="L37" s="20"/>
      <c r="M37" s="20"/>
      <c r="N37" s="3"/>
      <c r="O37" s="3"/>
      <c r="P37" s="3"/>
      <c r="Q37" s="3"/>
    </row>
    <row r="38" spans="1:17" x14ac:dyDescent="0.3">
      <c r="A38" s="3"/>
      <c r="B38" s="3"/>
      <c r="C38" s="3"/>
      <c r="D38" s="3"/>
      <c r="E38" s="34" t="s">
        <v>2</v>
      </c>
      <c r="F38" s="35" t="s">
        <v>26</v>
      </c>
      <c r="G38" s="36" t="s">
        <v>0</v>
      </c>
      <c r="H38" s="37" t="s">
        <v>27</v>
      </c>
      <c r="I38" s="38" t="s">
        <v>32</v>
      </c>
      <c r="J38" s="20"/>
      <c r="K38" s="20"/>
      <c r="L38" s="20"/>
      <c r="M38" s="20"/>
      <c r="N38" s="3"/>
      <c r="O38" s="3"/>
      <c r="P38" s="3"/>
      <c r="Q38" s="3"/>
    </row>
    <row r="39" spans="1:17" x14ac:dyDescent="0.3">
      <c r="A39" s="3"/>
      <c r="B39" s="3"/>
      <c r="C39" s="3"/>
      <c r="D39" s="3"/>
      <c r="E39" s="16">
        <v>5.0000000000000001E-3</v>
      </c>
      <c r="F39" s="17">
        <v>0.03</v>
      </c>
      <c r="G39" s="18">
        <v>4.8187088154946744</v>
      </c>
      <c r="H39" s="19">
        <v>6</v>
      </c>
      <c r="I39" s="22">
        <v>2.6041666666666668E-2</v>
      </c>
      <c r="J39" s="20"/>
      <c r="K39" s="20"/>
      <c r="L39" s="20"/>
      <c r="M39" s="20"/>
      <c r="N39" s="3"/>
      <c r="O39" s="3"/>
      <c r="P39" s="3"/>
      <c r="Q39" s="3"/>
    </row>
    <row r="40" spans="1:17" x14ac:dyDescent="0.3">
      <c r="A40" s="3"/>
      <c r="B40" s="3"/>
      <c r="C40" s="3"/>
      <c r="D40" s="3"/>
      <c r="E40" s="16">
        <v>7.4999999999999997E-3</v>
      </c>
      <c r="F40" s="17">
        <v>2.1999999999999999E-2</v>
      </c>
      <c r="G40" s="18">
        <v>2.6229728482251295</v>
      </c>
      <c r="H40" s="19">
        <v>2.9333333333333331</v>
      </c>
      <c r="I40" s="22">
        <v>4.6191287878787875E-3</v>
      </c>
      <c r="J40" s="20"/>
      <c r="K40" s="20"/>
      <c r="L40" s="20"/>
      <c r="M40" s="20"/>
      <c r="N40" s="3"/>
      <c r="O40" s="3"/>
      <c r="P40" s="3"/>
      <c r="Q40" s="3"/>
    </row>
    <row r="41" spans="1:17" x14ac:dyDescent="0.3">
      <c r="A41" s="3"/>
      <c r="B41" s="3"/>
      <c r="C41" s="3"/>
      <c r="D41" s="3"/>
      <c r="E41" s="16">
        <v>0.01</v>
      </c>
      <c r="F41" s="17">
        <v>1.7999999999999999E-2</v>
      </c>
      <c r="G41" s="18">
        <v>1.7036708399998399</v>
      </c>
      <c r="H41" s="19">
        <v>1.8</v>
      </c>
      <c r="I41" s="22">
        <v>7.1111111111111115E-4</v>
      </c>
      <c r="J41" s="20"/>
      <c r="K41" s="20"/>
      <c r="L41" s="20"/>
      <c r="M41" s="20"/>
      <c r="N41" s="3"/>
      <c r="O41" s="3"/>
      <c r="P41" s="3"/>
      <c r="Q41" s="3"/>
    </row>
    <row r="42" spans="1:17" x14ac:dyDescent="0.3">
      <c r="A42" s="3"/>
      <c r="B42" s="3"/>
      <c r="C42" s="3"/>
      <c r="D42" s="3"/>
      <c r="E42" s="16">
        <v>1.2500000000000001E-2</v>
      </c>
      <c r="F42" s="17">
        <v>1.4E-2</v>
      </c>
      <c r="G42" s="18">
        <v>1.2190476190476189</v>
      </c>
      <c r="H42" s="19">
        <v>1.1200000000000001</v>
      </c>
      <c r="I42" s="22">
        <v>4.8214285714285712E-6</v>
      </c>
      <c r="J42" s="20"/>
      <c r="K42" s="20"/>
      <c r="L42" s="20"/>
      <c r="M42" s="20"/>
      <c r="N42" s="3"/>
      <c r="O42" s="3"/>
      <c r="P42" s="3"/>
      <c r="Q42" s="3"/>
    </row>
    <row r="43" spans="1:17" x14ac:dyDescent="0.3">
      <c r="A43" s="3"/>
      <c r="B43" s="3"/>
      <c r="C43" s="3"/>
      <c r="D43" s="3"/>
      <c r="E43" s="20"/>
      <c r="F43" s="20"/>
      <c r="G43" s="20"/>
      <c r="H43" s="20"/>
      <c r="I43" s="20"/>
      <c r="J43" s="20"/>
      <c r="K43" s="20"/>
      <c r="L43" s="20"/>
      <c r="M43" s="20"/>
      <c r="N43" s="3"/>
      <c r="O43" s="3"/>
      <c r="P43" s="3"/>
      <c r="Q43" s="3"/>
    </row>
    <row r="44" spans="1:17" x14ac:dyDescent="0.3">
      <c r="A44" s="3"/>
      <c r="B44" s="3"/>
      <c r="C44" s="3"/>
      <c r="D44" s="3"/>
      <c r="E44" s="20"/>
      <c r="F44" s="20"/>
      <c r="G44" s="20"/>
      <c r="H44" s="20"/>
      <c r="I44" s="20"/>
      <c r="J44" s="20"/>
      <c r="K44" s="20"/>
      <c r="L44" s="20"/>
      <c r="M44" s="20"/>
      <c r="N44" s="3"/>
      <c r="O44" s="3"/>
      <c r="P44" s="3"/>
      <c r="Q44" s="3"/>
    </row>
    <row r="45" spans="1:17" x14ac:dyDescent="0.3">
      <c r="A45" s="39" t="s">
        <v>39</v>
      </c>
      <c r="B45" s="40">
        <f>F14</f>
        <v>1.6000000000000001E-4</v>
      </c>
      <c r="C45" s="3"/>
      <c r="D45" s="3"/>
      <c r="E45" s="20"/>
      <c r="F45" s="20"/>
      <c r="G45" s="20"/>
      <c r="H45" s="20"/>
      <c r="I45" s="20"/>
      <c r="J45" s="20"/>
      <c r="K45" s="20"/>
      <c r="L45" s="20"/>
      <c r="M45" s="20"/>
      <c r="N45" s="3"/>
      <c r="O45" s="3"/>
      <c r="P45" s="3"/>
      <c r="Q45" s="3"/>
    </row>
    <row r="46" spans="1:17" x14ac:dyDescent="0.3">
      <c r="A46" s="41" t="s">
        <v>40</v>
      </c>
      <c r="B46" s="42">
        <v>0.1</v>
      </c>
      <c r="C46" s="3"/>
      <c r="D46" s="3"/>
      <c r="E46" s="27" t="s">
        <v>48</v>
      </c>
      <c r="F46" s="27" t="s">
        <v>49</v>
      </c>
      <c r="G46" s="27" t="s">
        <v>50</v>
      </c>
      <c r="H46" s="27" t="s">
        <v>51</v>
      </c>
      <c r="I46" s="28" t="s">
        <v>52</v>
      </c>
      <c r="J46" s="20"/>
      <c r="K46" s="20"/>
      <c r="L46" s="20"/>
      <c r="M46" s="20"/>
      <c r="N46" s="3"/>
      <c r="O46" s="3"/>
      <c r="P46" s="3"/>
      <c r="Q46" s="3"/>
    </row>
    <row r="47" spans="1:17" x14ac:dyDescent="0.3">
      <c r="A47" s="41" t="s">
        <v>42</v>
      </c>
      <c r="B47" s="42">
        <v>1E-3</v>
      </c>
      <c r="C47" s="3"/>
      <c r="D47" s="3"/>
      <c r="E47" s="45">
        <v>1E-3</v>
      </c>
      <c r="F47" s="45">
        <v>1E-3</v>
      </c>
      <c r="G47" s="49">
        <f>SQRT((E55/SQRT($F$13*E39))^2 + (E39*E47/(2*SQRT($F$13*E39^3)^2)))</f>
        <v>2.5286315794347476</v>
      </c>
      <c r="H47" s="49">
        <f>SQRT((F47/E39)^2+(E47*F39/E39^2)^2)</f>
        <v>1.2165525060596438</v>
      </c>
      <c r="I47" s="46">
        <f xml:space="preserve"> SQRT(   (  (F47/(4*E39*F39^2))*(((3*F39)*(F39-E39)^2) - (F39-E39)^3)  )^2 +  (  (E47/(4*F39*E39^2))* ((3*E39*(F39-E39)^2) + (F39-E39)^3) )^2 )</f>
        <v>8.6335533049696905E-3</v>
      </c>
      <c r="J47" s="20"/>
      <c r="K47" s="20"/>
      <c r="L47" s="20"/>
      <c r="M47" s="20"/>
      <c r="N47" s="3"/>
      <c r="O47" s="3"/>
      <c r="P47" s="3"/>
      <c r="Q47" s="3"/>
    </row>
    <row r="48" spans="1:17" x14ac:dyDescent="0.3">
      <c r="A48" s="41" t="s">
        <v>43</v>
      </c>
      <c r="B48" s="42">
        <v>6.25</v>
      </c>
      <c r="C48" s="3"/>
      <c r="D48" s="3"/>
      <c r="E48" s="23">
        <v>1E-3</v>
      </c>
      <c r="F48" s="23">
        <v>1E-3</v>
      </c>
      <c r="G48" s="25">
        <f t="shared" ref="G48:G50" si="11">SQRT((E56/SQRT($F$13*E40))^2 + (E40*E48/(2*SQRT($F$13*E40^3)^2)))</f>
        <v>1.4820751874124409</v>
      </c>
      <c r="H48" s="25">
        <f t="shared" ref="H48:H50" si="12">SQRT((F48/E40)^2+(E48*F40/E40^2)^2)</f>
        <v>0.41321384174824743</v>
      </c>
      <c r="I48" s="24">
        <f t="shared" ref="I48:I50" si="13" xml:space="preserve"> SQRT(   (  (F48/(4*E40*F40^2))*(((3*F40)*(F40-E40)^2) - (F40-E40)^3)  )^2 +  (  (E48/(4*F40*E40^2))* ((3*E40*(F40-E40)^2) + (F40-E40)^3) )^2 )</f>
        <v>1.7395169005368924E-3</v>
      </c>
      <c r="J48" s="20"/>
      <c r="K48" s="20"/>
      <c r="L48" s="20"/>
      <c r="M48" s="20"/>
      <c r="N48" s="3"/>
      <c r="O48" s="3"/>
      <c r="P48" s="3"/>
      <c r="Q48" s="3"/>
    </row>
    <row r="49" spans="1:17" x14ac:dyDescent="0.3">
      <c r="A49" s="41"/>
      <c r="B49" s="42"/>
      <c r="C49" s="3"/>
      <c r="D49" s="3"/>
      <c r="E49" s="23">
        <v>1E-3</v>
      </c>
      <c r="F49" s="23">
        <v>1E-3</v>
      </c>
      <c r="G49" s="25">
        <f t="shared" si="11"/>
        <v>1.0266884659065754</v>
      </c>
      <c r="H49" s="25">
        <f t="shared" si="12"/>
        <v>0.20591260281974</v>
      </c>
      <c r="I49" s="24">
        <f t="shared" si="13"/>
        <v>4.0705738798883513E-4</v>
      </c>
      <c r="J49" s="20"/>
      <c r="K49" s="20"/>
      <c r="L49" s="20"/>
      <c r="M49" s="20"/>
      <c r="N49" s="3"/>
      <c r="O49" s="3"/>
      <c r="P49" s="3"/>
      <c r="Q49" s="3"/>
    </row>
    <row r="50" spans="1:17" x14ac:dyDescent="0.3">
      <c r="A50" s="43" t="s">
        <v>41</v>
      </c>
      <c r="B50" s="44">
        <f>-B47*B46/B48^2</f>
        <v>-2.5600000000000001E-6</v>
      </c>
      <c r="C50" s="3"/>
      <c r="D50" s="3"/>
      <c r="E50" s="47">
        <v>1E-3</v>
      </c>
      <c r="F50" s="47">
        <v>1E-3</v>
      </c>
      <c r="G50" s="26">
        <f t="shared" si="11"/>
        <v>0.77777453350131576</v>
      </c>
      <c r="H50" s="26">
        <f t="shared" si="12"/>
        <v>0.12011727602639014</v>
      </c>
      <c r="I50" s="48">
        <f t="shared" si="13"/>
        <v>1.3676029316032402E-5</v>
      </c>
      <c r="J50" s="20"/>
      <c r="K50" s="20"/>
      <c r="L50" s="20"/>
      <c r="M50" s="20"/>
      <c r="N50" s="3"/>
      <c r="O50" s="3"/>
      <c r="P50" s="3"/>
      <c r="Q50" s="3"/>
    </row>
    <row r="51" spans="1:17" x14ac:dyDescent="0.3">
      <c r="A51" s="3"/>
      <c r="B51" s="3"/>
      <c r="C51" s="3"/>
      <c r="D51" s="3"/>
      <c r="E51" s="20"/>
      <c r="F51" s="20"/>
      <c r="G51" s="20"/>
      <c r="H51" s="20"/>
      <c r="I51" s="20"/>
      <c r="J51" s="20"/>
      <c r="K51" s="20"/>
      <c r="L51" s="20"/>
      <c r="M51" s="20"/>
      <c r="N51" s="3"/>
      <c r="O51" s="3"/>
      <c r="P51" s="3"/>
      <c r="Q51" s="3"/>
    </row>
    <row r="52" spans="1:17" x14ac:dyDescent="0.3">
      <c r="A52" s="3"/>
      <c r="B52" s="3"/>
      <c r="C52" s="3"/>
      <c r="D52" s="3"/>
      <c r="E52" s="20"/>
      <c r="F52" s="20"/>
      <c r="G52" s="20"/>
      <c r="H52" s="20"/>
      <c r="I52" s="20"/>
      <c r="J52" s="20"/>
      <c r="K52" s="20"/>
      <c r="L52" s="20"/>
      <c r="M52" s="20"/>
      <c r="N52" s="3"/>
      <c r="O52" s="3"/>
      <c r="P52" s="3"/>
      <c r="Q52" s="3"/>
    </row>
    <row r="53" spans="1:17" x14ac:dyDescent="0.3">
      <c r="A53" s="3">
        <v>1E-3</v>
      </c>
      <c r="B53" s="3"/>
      <c r="C53" s="3"/>
      <c r="D53" s="3"/>
      <c r="E53" s="20"/>
      <c r="F53" s="20"/>
      <c r="G53" s="20"/>
      <c r="H53" s="20"/>
      <c r="I53" s="20"/>
      <c r="J53" s="20"/>
      <c r="K53" s="20"/>
      <c r="L53" s="20"/>
      <c r="M53" s="20"/>
      <c r="N53" s="3"/>
      <c r="O53" s="3"/>
      <c r="P53" s="3"/>
      <c r="Q53" s="3"/>
    </row>
    <row r="54" spans="1:17" x14ac:dyDescent="0.3">
      <c r="A54" s="3" t="s">
        <v>44</v>
      </c>
      <c r="B54" s="3">
        <v>1.1107</v>
      </c>
      <c r="C54" s="3"/>
      <c r="D54" s="3"/>
      <c r="E54" s="20" t="s">
        <v>46</v>
      </c>
      <c r="F54" s="20"/>
      <c r="G54" s="20"/>
      <c r="H54" s="20"/>
      <c r="I54" s="20"/>
      <c r="J54" s="20"/>
      <c r="K54" s="20"/>
      <c r="L54" s="20"/>
      <c r="M54" s="20"/>
      <c r="N54" s="3"/>
      <c r="O54" s="3"/>
      <c r="P54" s="3"/>
      <c r="Q54" s="3"/>
    </row>
    <row r="55" spans="1:17" x14ac:dyDescent="0.3">
      <c r="A55" s="3" t="s">
        <v>45</v>
      </c>
      <c r="B55" s="3">
        <v>0.03</v>
      </c>
      <c r="C55" s="3"/>
      <c r="D55" s="3"/>
      <c r="E55" s="20">
        <f>SQRT(($B$50/(E39*E17))^2 + ($F$14*E47/(E39^2*E17)))</f>
        <v>0.46219541802623315</v>
      </c>
      <c r="F55" s="20"/>
      <c r="G55" s="20"/>
      <c r="H55" s="20"/>
      <c r="I55" s="20"/>
      <c r="J55" s="20"/>
      <c r="K55" s="20"/>
      <c r="L55" s="20"/>
      <c r="M55" s="20"/>
      <c r="N55" s="3"/>
      <c r="O55" s="3"/>
      <c r="P55" s="3"/>
      <c r="Q55" s="3"/>
    </row>
    <row r="56" spans="1:17" x14ac:dyDescent="0.3">
      <c r="A56" s="3"/>
      <c r="B56" s="3"/>
      <c r="C56" s="3"/>
      <c r="D56" s="3"/>
      <c r="E56" s="20">
        <f t="shared" ref="E56:E58" si="14">SQRT(($B$50/(E40*E18))^2 + ($F$14*E48/(E40^2*E18)))</f>
        <v>0.30813027868415549</v>
      </c>
      <c r="F56" s="20"/>
      <c r="G56" s="20"/>
      <c r="H56" s="20"/>
      <c r="I56" s="20"/>
      <c r="J56" s="20"/>
      <c r="K56" s="20"/>
      <c r="L56" s="20"/>
      <c r="M56" s="20"/>
      <c r="N56" s="3"/>
      <c r="O56" s="3"/>
      <c r="P56" s="3"/>
      <c r="Q56" s="3"/>
    </row>
    <row r="57" spans="1:17" x14ac:dyDescent="0.3">
      <c r="A57" s="3"/>
      <c r="B57" s="3"/>
      <c r="C57" s="3"/>
      <c r="D57" s="3"/>
      <c r="E57" s="20">
        <f t="shared" si="14"/>
        <v>0.23109770901311658</v>
      </c>
      <c r="F57" s="20"/>
      <c r="G57" s="20"/>
      <c r="H57" s="20"/>
      <c r="I57" s="20"/>
      <c r="J57" s="20"/>
      <c r="K57" s="20"/>
      <c r="L57" s="20"/>
      <c r="M57" s="20"/>
      <c r="N57" s="3"/>
      <c r="O57" s="3"/>
      <c r="P57" s="3"/>
      <c r="Q57" s="3"/>
    </row>
    <row r="58" spans="1:17" x14ac:dyDescent="0.3">
      <c r="A58" s="3"/>
      <c r="B58" s="3"/>
      <c r="C58" s="3"/>
      <c r="D58" s="3"/>
      <c r="E58" s="20">
        <f t="shared" si="14"/>
        <v>0.18487816721049327</v>
      </c>
      <c r="F58" s="20"/>
      <c r="G58" s="20"/>
      <c r="H58" s="20"/>
      <c r="I58" s="20"/>
      <c r="J58" s="20"/>
      <c r="K58" s="20"/>
      <c r="L58" s="20"/>
      <c r="M58" s="20"/>
      <c r="N58" s="3"/>
      <c r="O58" s="3"/>
      <c r="P58" s="3"/>
      <c r="Q58" s="3"/>
    </row>
    <row r="59" spans="1:17" x14ac:dyDescent="0.3">
      <c r="A59" s="3"/>
      <c r="B59" s="3"/>
      <c r="C59" s="3"/>
      <c r="D59" s="3"/>
      <c r="E59" s="20"/>
      <c r="F59" s="20"/>
      <c r="G59" s="20"/>
      <c r="H59" s="20"/>
      <c r="I59" s="20"/>
      <c r="J59" s="20"/>
      <c r="K59" s="20"/>
      <c r="L59" s="20"/>
      <c r="M59" s="20"/>
      <c r="N59" s="3"/>
      <c r="O59" s="3"/>
      <c r="P59" s="3"/>
      <c r="Q59" s="3"/>
    </row>
    <row r="60" spans="1:17" x14ac:dyDescent="0.3">
      <c r="A60" s="3"/>
      <c r="B60" s="3"/>
      <c r="C60" s="3"/>
      <c r="D60" s="3"/>
      <c r="E60" s="20"/>
      <c r="F60" s="20"/>
      <c r="G60" s="20"/>
      <c r="H60" s="20"/>
      <c r="I60" s="20"/>
      <c r="J60" s="20"/>
      <c r="K60" s="20"/>
      <c r="L60" s="20"/>
      <c r="M60" s="20"/>
      <c r="N60" s="3"/>
      <c r="O60" s="3"/>
      <c r="P60" s="3"/>
      <c r="Q60" s="3"/>
    </row>
    <row r="61" spans="1:17" x14ac:dyDescent="0.3">
      <c r="A61" s="3"/>
      <c r="B61" s="3"/>
      <c r="C61" s="3"/>
      <c r="D61" s="3"/>
      <c r="E61" s="20"/>
      <c r="F61" s="20"/>
      <c r="G61" s="20"/>
      <c r="H61" s="20"/>
      <c r="I61" s="20"/>
      <c r="J61" s="20"/>
      <c r="K61" s="20"/>
      <c r="L61" s="20"/>
      <c r="M61" s="20"/>
      <c r="N61" s="3"/>
      <c r="O61" s="3"/>
      <c r="P61" s="3"/>
      <c r="Q61" s="3"/>
    </row>
    <row r="62" spans="1:17" x14ac:dyDescent="0.3">
      <c r="A62" s="3"/>
      <c r="B62" s="3"/>
      <c r="C62" s="3"/>
      <c r="D62" s="3"/>
      <c r="E62" s="20"/>
      <c r="F62" s="20"/>
      <c r="G62" s="20"/>
      <c r="H62" s="20"/>
      <c r="I62" s="20"/>
      <c r="J62" s="20"/>
      <c r="K62" s="20"/>
      <c r="L62" s="20"/>
      <c r="M62" s="20"/>
      <c r="N62" s="3"/>
      <c r="O62" s="3"/>
      <c r="P62" s="3"/>
      <c r="Q62" s="3"/>
    </row>
    <row r="63" spans="1:17" x14ac:dyDescent="0.3">
      <c r="A63" s="3"/>
      <c r="B63" s="3"/>
      <c r="C63" s="3"/>
      <c r="D63" s="3"/>
      <c r="E63" s="20"/>
      <c r="F63" s="20"/>
      <c r="G63" s="20"/>
      <c r="H63" s="20"/>
      <c r="I63" s="20"/>
      <c r="J63" s="20"/>
      <c r="K63" s="20"/>
      <c r="L63" s="20"/>
      <c r="M63" s="20"/>
      <c r="N63" s="3"/>
      <c r="O63" s="3"/>
      <c r="P63" s="3"/>
      <c r="Q63" s="3"/>
    </row>
    <row r="64" spans="1:17" x14ac:dyDescent="0.3">
      <c r="E64" s="21"/>
      <c r="F64" s="21"/>
      <c r="G64" s="21"/>
      <c r="H64" s="21"/>
      <c r="I64" s="21"/>
      <c r="J64" s="21"/>
      <c r="K64" s="21"/>
      <c r="L64" s="21"/>
      <c r="M64" s="21"/>
    </row>
    <row r="65" spans="5:13" x14ac:dyDescent="0.3">
      <c r="E65" s="21"/>
      <c r="F65" s="21"/>
      <c r="G65" s="21"/>
      <c r="H65" s="21"/>
      <c r="I65" s="21"/>
      <c r="J65" s="21"/>
      <c r="K65" s="21"/>
      <c r="L65" s="21"/>
      <c r="M65" s="21"/>
    </row>
    <row r="66" spans="5:13" x14ac:dyDescent="0.3">
      <c r="E66" s="21"/>
      <c r="F66" s="21"/>
      <c r="G66" s="21"/>
      <c r="H66" s="21"/>
      <c r="I66" s="21"/>
      <c r="J66" s="21"/>
      <c r="K66" s="21"/>
      <c r="L66" s="21"/>
      <c r="M66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Viswa Prajod</dc:creator>
  <cp:lastModifiedBy>Ajay Daniel Pravin</cp:lastModifiedBy>
  <dcterms:created xsi:type="dcterms:W3CDTF">2021-11-17T14:19:46Z</dcterms:created>
  <dcterms:modified xsi:type="dcterms:W3CDTF">2021-12-06T12:24:07Z</dcterms:modified>
</cp:coreProperties>
</file>